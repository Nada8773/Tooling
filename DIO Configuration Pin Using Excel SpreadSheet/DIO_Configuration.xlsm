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ITI\lectures\10-Tooling_Omar_Soliman\labs\Excel Sheet\"/>
    </mc:Choice>
  </mc:AlternateContent>
  <bookViews>
    <workbookView xWindow="0" yWindow="0" windowWidth="22260" windowHeight="12645"/>
  </bookViews>
  <sheets>
    <sheet name="DIO_Generator" sheetId="1" r:id="rId1"/>
    <sheet name="DIO_Setting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31" i="1"/>
  <c r="C32" i="1"/>
  <c r="C9" i="1"/>
  <c r="C8" i="1"/>
  <c r="C7" i="1"/>
  <c r="C6" i="1"/>
  <c r="C5" i="1"/>
  <c r="C4" i="1"/>
  <c r="C2" i="1"/>
  <c r="C33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</calcChain>
</file>

<file path=xl/sharedStrings.xml><?xml version="1.0" encoding="utf-8"?>
<sst xmlns="http://schemas.openxmlformats.org/spreadsheetml/2006/main" count="77" uniqueCount="43">
  <si>
    <t>Pin #</t>
  </si>
  <si>
    <t>Direction</t>
  </si>
  <si>
    <t>Output Value</t>
  </si>
  <si>
    <t>Input Type</t>
  </si>
  <si>
    <t>PIN_0</t>
  </si>
  <si>
    <t>PIN_1</t>
  </si>
  <si>
    <t>PIN_2</t>
  </si>
  <si>
    <t>PIN_3</t>
  </si>
  <si>
    <t>PIN_4</t>
  </si>
  <si>
    <t>PIN_5</t>
  </si>
  <si>
    <t>PIN_6</t>
  </si>
  <si>
    <t>PIN_7</t>
  </si>
  <si>
    <t>PIN_8</t>
  </si>
  <si>
    <t>PIN_9</t>
  </si>
  <si>
    <t>PIN_10</t>
  </si>
  <si>
    <t>PIN_11</t>
  </si>
  <si>
    <t>PIN_12</t>
  </si>
  <si>
    <t>PIN_13</t>
  </si>
  <si>
    <t>PIN_14</t>
  </si>
  <si>
    <t>PIN_15</t>
  </si>
  <si>
    <t>PIN_16</t>
  </si>
  <si>
    <t>PIN_17</t>
  </si>
  <si>
    <t>PIN_18</t>
  </si>
  <si>
    <t>PIN_19</t>
  </si>
  <si>
    <t>PIN_20</t>
  </si>
  <si>
    <t>PIN_21</t>
  </si>
  <si>
    <t>PIN_22</t>
  </si>
  <si>
    <t>PIN_23</t>
  </si>
  <si>
    <t>PIN_24</t>
  </si>
  <si>
    <t>PIN_25</t>
  </si>
  <si>
    <t>PIN_26</t>
  </si>
  <si>
    <t>PIN_27</t>
  </si>
  <si>
    <t>PIN_28</t>
  </si>
  <si>
    <t>PIN_29</t>
  </si>
  <si>
    <t>PIN_30</t>
  </si>
  <si>
    <t>PIN_31</t>
  </si>
  <si>
    <t>DIO_u8OUTPUT</t>
  </si>
  <si>
    <t>DIO_u8INPUT</t>
  </si>
  <si>
    <t>DIO_u8HIGH</t>
  </si>
  <si>
    <t>DIO_u8LOW</t>
  </si>
  <si>
    <t>DIO_u8PULL_UP</t>
  </si>
  <si>
    <t>DIO_u8HIGH_IMPEDENCE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</si>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</sst>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ont="1" applyFill="1" applyAlignment="1">
      <alignment horizontal="center"/>
    </xf>
  </cellXfs>
  <cellStyles count="1">
    <cellStyle name="Normal" xfId="0" builtinId="0"/>
  </cellStyles>
  <dxfs count="4"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9</xdr:row>
          <xdr:rowOff>9525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026" name="Generate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D33">
  <autoFilter ref="A1:D33">
    <filterColumn colId="0" hiddenButton="1"/>
    <filterColumn colId="1" hiddenButton="1"/>
    <filterColumn colId="2" hiddenButton="1"/>
    <filterColumn colId="3" hiddenButton="1"/>
  </autoFilter>
  <tableColumns count="4">
    <tableColumn id="1" name="Pin #" totalsRowLabel="Total" dataDxfId="3"/>
    <tableColumn id="2" name="Direction" dataDxfId="2"/>
    <tableColumn id="3" name="Output Value" dataDxfId="1">
      <calculatedColumnFormula>IF(Table1[[#This Row],[Direction]]="DIO_u8OUTPUT","DIO_u8HIGH ","N/A")</calculatedColumnFormula>
    </tableColumn>
    <tableColumn id="4" name="Input Type" totalsRowFunction="count" dataDxfId="0">
      <calculatedColumnFormula>IF(Table1[[#This Row],[Direction]]="DIO_u8INPUT","DIO_u8HIGH_IMPEDENCE","N/A")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8"/>
  <sheetViews>
    <sheetView tabSelected="1" topLeftCell="A3" workbookViewId="0">
      <selection activeCell="B12" sqref="B12"/>
    </sheetView>
  </sheetViews>
  <sheetFormatPr defaultRowHeight="15" x14ac:dyDescent="0.25"/>
  <cols>
    <col min="1" max="1" width="15.7109375" customWidth="1"/>
    <col min="2" max="2" width="22.85546875" customWidth="1"/>
    <col min="3" max="3" width="21.5703125" customWidth="1"/>
    <col min="4" max="4" width="25" customWidth="1"/>
  </cols>
  <sheetData>
    <row r="1" spans="1:4" x14ac:dyDescent="0.25">
      <c r="A1" s="3" t="s">
        <v>0</v>
      </c>
      <c r="B1" s="4" t="s">
        <v>1</v>
      </c>
      <c r="C1" s="4" t="s">
        <v>2</v>
      </c>
      <c r="D1" s="4" t="s">
        <v>3</v>
      </c>
    </row>
    <row r="2" spans="1:4" x14ac:dyDescent="0.25">
      <c r="A2" s="2" t="s">
        <v>4</v>
      </c>
      <c r="B2" s="6" t="s">
        <v>37</v>
      </c>
      <c r="C2" s="5" t="str">
        <f>IF(Table1[[#This Row],[Direction]]="DIO_u8OUTPUT","DIO_u8HIGH","N/A")</f>
        <v>N/A</v>
      </c>
      <c r="D2" s="5" t="str">
        <f>IF(Table1[[#This Row],[Direction]]="DIO_u8INPUT","DIO_u8HIGH_IMPEDENCE","N/A")</f>
        <v>DIO_u8HIGH_IMPEDENCE</v>
      </c>
    </row>
    <row r="3" spans="1:4" x14ac:dyDescent="0.25">
      <c r="A3" s="2" t="s">
        <v>5</v>
      </c>
      <c r="B3" s="6" t="s">
        <v>36</v>
      </c>
      <c r="C3" s="5" t="s">
        <v>39</v>
      </c>
      <c r="D3" s="5" t="str">
        <f>IF(Table1[[#This Row],[Direction]]="DIO_u8INPUT","DIO_u8HIGH_IMPEDENCE","N/A")</f>
        <v>N/A</v>
      </c>
    </row>
    <row r="4" spans="1:4" x14ac:dyDescent="0.25">
      <c r="A4" s="2" t="s">
        <v>6</v>
      </c>
      <c r="B4" s="5" t="s">
        <v>37</v>
      </c>
      <c r="C4" s="5" t="str">
        <f>IF(Table1[[#This Row],[Direction]]="DIO_u8OUTPUT","DIO_u8HIGH","N/A")</f>
        <v>N/A</v>
      </c>
      <c r="D4" s="5" t="str">
        <f>IF(Table1[[#This Row],[Direction]]="DIO_u8INPUT","DIO_u8HIGH_IMPEDENCE","N/A")</f>
        <v>DIO_u8HIGH_IMPEDENCE</v>
      </c>
    </row>
    <row r="5" spans="1:4" x14ac:dyDescent="0.25">
      <c r="A5" s="2" t="s">
        <v>7</v>
      </c>
      <c r="B5" s="5" t="s">
        <v>37</v>
      </c>
      <c r="C5" s="5" t="str">
        <f>IF(Table1[[#This Row],[Direction]]="DIO_u8OUTPUT","DIO_u8HIGH","N/A")</f>
        <v>N/A</v>
      </c>
      <c r="D5" s="5" t="str">
        <f>IF(Table1[[#This Row],[Direction]]="DIO_u8INPUT","DIO_u8HIGH_IMPEDENCE","N/A")</f>
        <v>DIO_u8HIGH_IMPEDENCE</v>
      </c>
    </row>
    <row r="6" spans="1:4" x14ac:dyDescent="0.25">
      <c r="A6" s="2" t="s">
        <v>8</v>
      </c>
      <c r="B6" s="5" t="s">
        <v>37</v>
      </c>
      <c r="C6" s="5" t="str">
        <f>IF(Table1[[#This Row],[Direction]]="DIO_u8OUTPUT","DIO_u8HIGH","N/A")</f>
        <v>N/A</v>
      </c>
      <c r="D6" s="5" t="str">
        <f>IF(Table1[[#This Row],[Direction]]="DIO_u8INPUT","DIO_u8HIGH_IMPEDENCE","N/A")</f>
        <v>DIO_u8HIGH_IMPEDENCE</v>
      </c>
    </row>
    <row r="7" spans="1:4" x14ac:dyDescent="0.25">
      <c r="A7" s="2" t="s">
        <v>9</v>
      </c>
      <c r="B7" s="5" t="s">
        <v>37</v>
      </c>
      <c r="C7" s="5" t="str">
        <f>IF(Table1[[#This Row],[Direction]]="DIO_u8OUTPUT","DIO_u8HIGH","N/A")</f>
        <v>N/A</v>
      </c>
      <c r="D7" s="5" t="str">
        <f>IF(Table1[[#This Row],[Direction]]="DIO_u8INPUT","DIO_u8HIGH_IMPEDENCE","N/A")</f>
        <v>DIO_u8HIGH_IMPEDENCE</v>
      </c>
    </row>
    <row r="8" spans="1:4" x14ac:dyDescent="0.25">
      <c r="A8" s="2" t="s">
        <v>10</v>
      </c>
      <c r="B8" s="5" t="s">
        <v>37</v>
      </c>
      <c r="C8" s="5" t="str">
        <f>IF(Table1[[#This Row],[Direction]]="DIO_u8OUTPUT","DIO_u8HIGH","N/A")</f>
        <v>N/A</v>
      </c>
      <c r="D8" s="5" t="str">
        <f>IF(Table1[[#This Row],[Direction]]="DIO_u8INPUT","DIO_u8HIGH_IMPEDENCE","N/A")</f>
        <v>DIO_u8HIGH_IMPEDENCE</v>
      </c>
    </row>
    <row r="9" spans="1:4" x14ac:dyDescent="0.25">
      <c r="A9" s="2" t="s">
        <v>11</v>
      </c>
      <c r="B9" s="5" t="s">
        <v>37</v>
      </c>
      <c r="C9" s="5" t="str">
        <f>IF(Table1[[#This Row],[Direction]]="DIO_u8OUTPUT","DIO_u8HIGH","N/A")</f>
        <v>N/A</v>
      </c>
      <c r="D9" s="5" t="str">
        <f>IF(Table1[[#This Row],[Direction]]="DIO_u8INPUT","DIO_u8HIGH_IMPEDENCE","N/A")</f>
        <v>DIO_u8HIGH_IMPEDENCE</v>
      </c>
    </row>
    <row r="10" spans="1:4" x14ac:dyDescent="0.25">
      <c r="A10" s="2" t="s">
        <v>12</v>
      </c>
      <c r="B10" s="5" t="s">
        <v>36</v>
      </c>
      <c r="C10" s="5" t="str">
        <f>IF(Table1[[#This Row],[Direction]]="DIO_u8OUTPUT","DIO_u8HIGH","N/A")</f>
        <v>DIO_u8HIGH</v>
      </c>
      <c r="D10" s="5" t="str">
        <f>IF(Table1[[#This Row],[Direction]]="DIO_u8INPUT","DIO_u8HIGH_IMPEDENCE","N/A")</f>
        <v>N/A</v>
      </c>
    </row>
    <row r="11" spans="1:4" x14ac:dyDescent="0.25">
      <c r="A11" s="2" t="s">
        <v>13</v>
      </c>
      <c r="B11" s="5" t="s">
        <v>36</v>
      </c>
      <c r="C11" s="5" t="str">
        <f>IF(Table1[[#This Row],[Direction]]="DIO_u8OUTPUT","DIO_u8HIGH","N/A")</f>
        <v>DIO_u8HIGH</v>
      </c>
      <c r="D11" s="5" t="str">
        <f>IF(Table1[[#This Row],[Direction]]="DIO_u8INPUT","DIO_u8HIGH_IMPEDENCE","N/A")</f>
        <v>N/A</v>
      </c>
    </row>
    <row r="12" spans="1:4" x14ac:dyDescent="0.25">
      <c r="A12" s="2" t="s">
        <v>14</v>
      </c>
      <c r="B12" s="5" t="s">
        <v>36</v>
      </c>
      <c r="C12" s="5" t="str">
        <f>IF(Table1[[#This Row],[Direction]]="DIO_u8OUTPUT","DIO_u8HIGH","N/A")</f>
        <v>DIO_u8HIGH</v>
      </c>
      <c r="D12" s="5" t="str">
        <f>IF(Table1[[#This Row],[Direction]]="DIO_u8INPUT","DIO_u8HIGH_IMPEDENCE","N/A")</f>
        <v>N/A</v>
      </c>
    </row>
    <row r="13" spans="1:4" x14ac:dyDescent="0.25">
      <c r="A13" s="2" t="s">
        <v>15</v>
      </c>
      <c r="B13" s="5" t="s">
        <v>36</v>
      </c>
      <c r="C13" s="5" t="str">
        <f>IF(Table1[[#This Row],[Direction]]="DIO_u8OUTPUT","DIO_u8HIGH","N/A")</f>
        <v>DIO_u8HIGH</v>
      </c>
      <c r="D13" s="5" t="str">
        <f>IF(Table1[[#This Row],[Direction]]="DIO_u8INPUT","DIO_u8HIGH_IMPEDENCE","N/A")</f>
        <v>N/A</v>
      </c>
    </row>
    <row r="14" spans="1:4" x14ac:dyDescent="0.25">
      <c r="A14" s="2" t="s">
        <v>16</v>
      </c>
      <c r="B14" s="5" t="s">
        <v>36</v>
      </c>
      <c r="C14" s="5" t="str">
        <f>IF(Table1[[#This Row],[Direction]]="DIO_u8OUTPUT","DIO_u8HIGH","N/A")</f>
        <v>DIO_u8HIGH</v>
      </c>
      <c r="D14" s="5" t="str">
        <f>IF(Table1[[#This Row],[Direction]]="DIO_u8INPUT","DIO_u8HIGH_IMPEDENCE","N/A")</f>
        <v>N/A</v>
      </c>
    </row>
    <row r="15" spans="1:4" x14ac:dyDescent="0.25">
      <c r="A15" s="2" t="s">
        <v>17</v>
      </c>
      <c r="B15" s="5" t="s">
        <v>36</v>
      </c>
      <c r="C15" s="5" t="str">
        <f>IF(Table1[[#This Row],[Direction]]="DIO_u8OUTPUT","DIO_u8HIGH","N/A")</f>
        <v>DIO_u8HIGH</v>
      </c>
      <c r="D15" s="5" t="str">
        <f>IF(Table1[[#This Row],[Direction]]="DIO_u8INPUT","DIO_u8HIGH_IMPEDENCE","N/A")</f>
        <v>N/A</v>
      </c>
    </row>
    <row r="16" spans="1:4" x14ac:dyDescent="0.25">
      <c r="A16" s="2" t="s">
        <v>18</v>
      </c>
      <c r="B16" s="5" t="s">
        <v>36</v>
      </c>
      <c r="C16" s="5" t="str">
        <f>IF(Table1[[#This Row],[Direction]]="DIO_u8OUTPUT","DIO_u8HIGH","N/A")</f>
        <v>DIO_u8HIGH</v>
      </c>
      <c r="D16" s="5" t="str">
        <f>IF(Table1[[#This Row],[Direction]]="DIO_u8INPUT","DIO_u8HIGH_IMPEDENCE","N/A")</f>
        <v>N/A</v>
      </c>
    </row>
    <row r="17" spans="1:4" x14ac:dyDescent="0.25">
      <c r="A17" s="2" t="s">
        <v>19</v>
      </c>
      <c r="B17" s="5" t="s">
        <v>36</v>
      </c>
      <c r="C17" s="5" t="str">
        <f>IF(Table1[[#This Row],[Direction]]="DIO_u8OUTPUT","DIO_u8HIGH","N/A")</f>
        <v>DIO_u8HIGH</v>
      </c>
      <c r="D17" s="5" t="str">
        <f>IF(Table1[[#This Row],[Direction]]="DIO_u8INPUT","DIO_u8HIGH_IMPEDENCE","N/A")</f>
        <v>N/A</v>
      </c>
    </row>
    <row r="18" spans="1:4" x14ac:dyDescent="0.25">
      <c r="A18" s="2" t="s">
        <v>20</v>
      </c>
      <c r="B18" s="5" t="s">
        <v>36</v>
      </c>
      <c r="C18" s="5" t="str">
        <f>IF(Table1[[#This Row],[Direction]]="DIO_u8OUTPUT","DIO_u8HIGH","N/A")</f>
        <v>DIO_u8HIGH</v>
      </c>
      <c r="D18" s="5" t="str">
        <f>IF(Table1[[#This Row],[Direction]]="DIO_u8INPUT","DIO_u8HIGH_IMPEDENCE","N/A")</f>
        <v>N/A</v>
      </c>
    </row>
    <row r="19" spans="1:4" x14ac:dyDescent="0.25">
      <c r="A19" s="2" t="s">
        <v>21</v>
      </c>
      <c r="B19" s="5" t="s">
        <v>36</v>
      </c>
      <c r="C19" s="5" t="str">
        <f>IF(Table1[[#This Row],[Direction]]="DIO_u8OUTPUT","DIO_u8HIGH","N/A")</f>
        <v>DIO_u8HIGH</v>
      </c>
      <c r="D19" s="5" t="str">
        <f>IF(Table1[[#This Row],[Direction]]="DIO_u8INPUT","DIO_u8HIGH_IMPEDENCE","N/A")</f>
        <v>N/A</v>
      </c>
    </row>
    <row r="20" spans="1:4" x14ac:dyDescent="0.25">
      <c r="A20" s="2" t="s">
        <v>22</v>
      </c>
      <c r="B20" s="5" t="s">
        <v>36</v>
      </c>
      <c r="C20" s="5" t="str">
        <f>IF(Table1[[#This Row],[Direction]]="DIO_u8OUTPUT","DIO_u8HIGH","N/A")</f>
        <v>DIO_u8HIGH</v>
      </c>
      <c r="D20" s="5" t="str">
        <f>IF(Table1[[#This Row],[Direction]]="DIO_u8INPUT","DIO_u8HIGH_IMPEDENCE","N/A")</f>
        <v>N/A</v>
      </c>
    </row>
    <row r="21" spans="1:4" x14ac:dyDescent="0.25">
      <c r="A21" s="2" t="s">
        <v>23</v>
      </c>
      <c r="B21" s="5" t="s">
        <v>37</v>
      </c>
      <c r="C21" s="5" t="str">
        <f>IF(Table1[[#This Row],[Direction]]="DIO_u8OUTPUT","DIO_u8HIGH","N/A")</f>
        <v>N/A</v>
      </c>
      <c r="D21" s="5" t="str">
        <f>IF(Table1[[#This Row],[Direction]]="DIO_u8INPUT","DIO_u8HIGH_IMPEDENCE","N/A")</f>
        <v>DIO_u8HIGH_IMPEDENCE</v>
      </c>
    </row>
    <row r="22" spans="1:4" x14ac:dyDescent="0.25">
      <c r="A22" s="2" t="s">
        <v>24</v>
      </c>
      <c r="B22" s="5" t="s">
        <v>37</v>
      </c>
      <c r="C22" s="5" t="str">
        <f>IF(Table1[[#This Row],[Direction]]="DIO_u8OUTPUT","DIO_u8HIGH","N/A")</f>
        <v>N/A</v>
      </c>
      <c r="D22" s="5" t="str">
        <f>IF(Table1[[#This Row],[Direction]]="DIO_u8INPUT","DIO_u8HIGH_IMPEDENCE","N/A")</f>
        <v>DIO_u8HIGH_IMPEDENCE</v>
      </c>
    </row>
    <row r="23" spans="1:4" x14ac:dyDescent="0.25">
      <c r="A23" s="2" t="s">
        <v>25</v>
      </c>
      <c r="B23" s="5" t="s">
        <v>37</v>
      </c>
      <c r="C23" s="5" t="str">
        <f>IF(Table1[[#This Row],[Direction]]="DIO_u8OUTPUT","DIO_u8HIGH","N/A")</f>
        <v>N/A</v>
      </c>
      <c r="D23" s="5" t="str">
        <f>IF(Table1[[#This Row],[Direction]]="DIO_u8INPUT","DIO_u8HIGH_IMPEDENCE","N/A")</f>
        <v>DIO_u8HIGH_IMPEDENCE</v>
      </c>
    </row>
    <row r="24" spans="1:4" x14ac:dyDescent="0.25">
      <c r="A24" s="2" t="s">
        <v>26</v>
      </c>
      <c r="B24" s="5" t="s">
        <v>37</v>
      </c>
      <c r="C24" s="5" t="str">
        <f>IF(Table1[[#This Row],[Direction]]="DIO_u8OUTPUT","DIO_u8HIGH","N/A")</f>
        <v>N/A</v>
      </c>
      <c r="D24" s="5" t="str">
        <f>IF(Table1[[#This Row],[Direction]]="DIO_u8INPUT","DIO_u8HIGH_IMPEDENCE","N/A")</f>
        <v>DIO_u8HIGH_IMPEDENCE</v>
      </c>
    </row>
    <row r="25" spans="1:4" x14ac:dyDescent="0.25">
      <c r="A25" s="2" t="s">
        <v>27</v>
      </c>
      <c r="B25" s="5" t="s">
        <v>37</v>
      </c>
      <c r="C25" s="5" t="str">
        <f>IF(Table1[[#This Row],[Direction]]="DIO_u8OUTPUT","DIO_u8HIGH","N/A")</f>
        <v>N/A</v>
      </c>
      <c r="D25" s="5" t="str">
        <f>IF(Table1[[#This Row],[Direction]]="DIO_u8INPUT","DIO_u8HIGH_IMPEDENCE","N/A")</f>
        <v>DIO_u8HIGH_IMPEDENCE</v>
      </c>
    </row>
    <row r="26" spans="1:4" x14ac:dyDescent="0.25">
      <c r="A26" s="2" t="s">
        <v>28</v>
      </c>
      <c r="B26" s="5" t="s">
        <v>37</v>
      </c>
      <c r="C26" s="5" t="str">
        <f>IF(Table1[[#This Row],[Direction]]="DIO_u8OUTPUT","DIO_u8HIGH","N/A")</f>
        <v>N/A</v>
      </c>
      <c r="D26" s="5" t="str">
        <f>IF(Table1[[#This Row],[Direction]]="DIO_u8INPUT","DIO_u8HIGH_IMPEDENCE","N/A")</f>
        <v>DIO_u8HIGH_IMPEDENCE</v>
      </c>
    </row>
    <row r="27" spans="1:4" x14ac:dyDescent="0.25">
      <c r="A27" s="2" t="s">
        <v>29</v>
      </c>
      <c r="B27" s="5" t="s">
        <v>37</v>
      </c>
      <c r="C27" s="5" t="str">
        <f>IF(Table1[[#This Row],[Direction]]="DIO_u8OUTPUT","DIO_u8HIGH","N/A")</f>
        <v>N/A</v>
      </c>
      <c r="D27" s="5" t="str">
        <f>IF(Table1[[#This Row],[Direction]]="DIO_u8INPUT","DIO_u8HIGH_IMPEDENCE","N/A")</f>
        <v>DIO_u8HIGH_IMPEDENCE</v>
      </c>
    </row>
    <row r="28" spans="1:4" x14ac:dyDescent="0.25">
      <c r="A28" s="2" t="s">
        <v>30</v>
      </c>
      <c r="B28" s="5" t="s">
        <v>37</v>
      </c>
      <c r="C28" s="5" t="str">
        <f>IF(Table1[[#This Row],[Direction]]="DIO_u8OUTPUT","DIO_u8HIGH","N/A")</f>
        <v>N/A</v>
      </c>
      <c r="D28" s="5" t="str">
        <f>IF(Table1[[#This Row],[Direction]]="DIO_u8INPUT","DIO_u8HIGH_IMPEDENCE","N/A")</f>
        <v>DIO_u8HIGH_IMPEDENCE</v>
      </c>
    </row>
    <row r="29" spans="1:4" x14ac:dyDescent="0.25">
      <c r="A29" s="2" t="s">
        <v>31</v>
      </c>
      <c r="B29" s="5" t="s">
        <v>37</v>
      </c>
      <c r="C29" s="5" t="str">
        <f>IF(Table1[[#This Row],[Direction]]="DIO_u8OUTPUT","DIO_u8HIGH","N/A")</f>
        <v>N/A</v>
      </c>
      <c r="D29" s="5" t="str">
        <f>IF(Table1[[#This Row],[Direction]]="DIO_u8INPUT","DIO_u8HIGH_IMPEDENCE","N/A")</f>
        <v>DIO_u8HIGH_IMPEDENCE</v>
      </c>
    </row>
    <row r="30" spans="1:4" x14ac:dyDescent="0.25">
      <c r="A30" s="2" t="s">
        <v>32</v>
      </c>
      <c r="B30" s="5" t="s">
        <v>36</v>
      </c>
      <c r="C30" s="5" t="str">
        <f>IF(Table1[[#This Row],[Direction]]="DIO_u8OUTPUT","DIO_u8HIGH","N/A")</f>
        <v>DIO_u8HIGH</v>
      </c>
      <c r="D30" s="5" t="str">
        <f>IF(Table1[[#This Row],[Direction]]="DIO_u8INPUT","DIO_u8HIGH_IMPEDENCE","N/A")</f>
        <v>N/A</v>
      </c>
    </row>
    <row r="31" spans="1:4" x14ac:dyDescent="0.25">
      <c r="A31" s="2" t="s">
        <v>33</v>
      </c>
      <c r="B31" s="5" t="s">
        <v>36</v>
      </c>
      <c r="C31" s="5" t="str">
        <f>IF(Table1[[#This Row],[Direction]]="DIO_u8OUTPUT","DIO_u8HIGH","N/A")</f>
        <v>DIO_u8HIGH</v>
      </c>
      <c r="D31" s="5" t="str">
        <f>IF(Table1[[#This Row],[Direction]]="DIO_u8INPUT","DIO_u8HIGH_IMPEDENCE","N/A")</f>
        <v>N/A</v>
      </c>
    </row>
    <row r="32" spans="1:4" x14ac:dyDescent="0.25">
      <c r="A32" s="2" t="s">
        <v>34</v>
      </c>
      <c r="B32" s="5" t="s">
        <v>36</v>
      </c>
      <c r="C32" s="5" t="str">
        <f>IF(Table1[[#This Row],[Direction]]="DIO_u8OUTPUT","DIO_u8HIGH","N/A")</f>
        <v>DIO_u8HIGH</v>
      </c>
      <c r="D32" s="5" t="str">
        <f>IF(Table1[[#This Row],[Direction]]="DIO_u8INPUT","DIO_u8HIGH_IMPEDENCE","N/A")</f>
        <v>N/A</v>
      </c>
    </row>
    <row r="33" spans="1:4" x14ac:dyDescent="0.25">
      <c r="A33" s="2" t="s">
        <v>35</v>
      </c>
      <c r="B33" s="5" t="s">
        <v>36</v>
      </c>
      <c r="C33" s="5" t="str">
        <f>IF(Table1[[#This Row],[Direction]]="DIO_u8OUTPUT","DIO_u8HIGH","N/A")</f>
        <v>DIO_u8HIGH</v>
      </c>
      <c r="D33" s="5" t="str">
        <f>IF(Table1[[#This Row],[Direction]]="DIO_u8INPUT","DIO_u8HIGH_IMPEDENCE","N/A")</f>
        <v>N/A</v>
      </c>
    </row>
    <row r="34" spans="1:4" x14ac:dyDescent="0.25">
      <c r="C34" s="1"/>
      <c r="D34" s="1"/>
    </row>
    <row r="35" spans="1:4" x14ac:dyDescent="0.25">
      <c r="C35" s="1"/>
      <c r="D35" s="1"/>
    </row>
    <row r="36" spans="1:4" x14ac:dyDescent="0.25">
      <c r="C36" s="1"/>
      <c r="D36" s="1"/>
    </row>
    <row r="37" spans="1:4" x14ac:dyDescent="0.25">
      <c r="C37" s="1"/>
      <c r="D37" s="1"/>
    </row>
    <row r="38" spans="1:4" x14ac:dyDescent="0.25">
      <c r="C38" s="1"/>
      <c r="D38" s="1"/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Generate_Button">
          <controlPr defaultSize="0" autoLine="0" r:id="rId5">
            <anchor moveWithCells="1">
              <from>
                <xdr:col>4</xdr:col>
                <xdr:colOff>600075</xdr:colOff>
                <xdr:row>9</xdr:row>
                <xdr:rowOff>9525</xdr:rowOff>
              </from>
              <to>
                <xdr:col>7</xdr:col>
                <xdr:colOff>600075</xdr:colOff>
                <xdr:row>11</xdr:row>
                <xdr:rowOff>180975</xdr:rowOff>
              </to>
            </anchor>
          </controlPr>
        </control>
      </mc:Choice>
      <mc:Fallback>
        <control shapeId="1026" r:id="rId4" name="Generate_Button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DIO_Setting!$A$1:$A$2</xm:f>
          </x14:formula1>
          <xm:sqref>B2:B33</xm:sqref>
        </x14:dataValidation>
        <x14:dataValidation type="list" allowBlank="1" showInputMessage="1" showErrorMessage="1">
          <x14:formula1>
            <xm:f>DIO_Setting!$B$1:$B$3</xm:f>
          </x14:formula1>
          <xm:sqref>C2:C33</xm:sqref>
        </x14:dataValidation>
        <x14:dataValidation type="list" allowBlank="1" showInputMessage="1" showErrorMessage="1">
          <x14:formula1>
            <xm:f>DIO_Setting!$C$1:$C$3</xm:f>
          </x14:formula1>
          <xm:sqref>D2:D33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>
      <selection activeCell="B8" sqref="B8"/>
    </sheetView>
  </sheetViews>
  <sheetFormatPr defaultRowHeight="15" x14ac:dyDescent="0.25"/>
  <cols>
    <col min="1" max="1" width="18.140625" customWidth="1"/>
    <col min="2" max="2" width="21.85546875" customWidth="1"/>
    <col min="3" max="3" width="27.140625" customWidth="1"/>
  </cols>
  <sheetData>
    <row r="1" spans="1:3" x14ac:dyDescent="0.25">
      <c r="A1" t="s">
        <v>36</v>
      </c>
      <c r="B1" t="s">
        <v>38</v>
      </c>
      <c r="C1" t="s">
        <v>40</v>
      </c>
    </row>
    <row r="2" spans="1:3" x14ac:dyDescent="0.25">
      <c r="A2" t="s">
        <v>37</v>
      </c>
      <c r="B2" t="s">
        <v>39</v>
      </c>
      <c r="C2" t="s">
        <v>41</v>
      </c>
    </row>
    <row r="3" spans="1:3" x14ac:dyDescent="0.25">
      <c r="B3" t="s">
        <v>42</v>
      </c>
      <c r="C3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DIO_Generator</vt:lpstr>
      <vt:lpstr>DIO_Setting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Nada</cp:lastModifiedBy>
  <dcterms:created xsi:type="dcterms:W3CDTF">2015-06-05T18:17:20Z</dcterms:created>
  <dcterms:modified xsi:type="dcterms:W3CDTF">2020-04-21T15:52:27Z</dcterms:modified>
</cp:coreProperties>
</file>